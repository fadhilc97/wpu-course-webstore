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<sst xmlns="http://schemas.openxmlformats.org/spreadsheetml/2006/main" count="59" uniqueCount="53">
  <si>
    <t xml:space="preserve">Section</t>
  </si>
  <si>
    <t xml:space="preserve">Date</t>
  </si>
  <si>
    <t xml:space="preserve">Time</t>
  </si>
  <si>
    <t xml:space="preserve">Duration</t>
  </si>
  <si>
    <t xml:space="preserve">No</t>
  </si>
  <si>
    <t xml:space="preserve">Topic</t>
  </si>
  <si>
    <t xml:space="preserve">Status</t>
  </si>
  <si>
    <t xml:space="preserve">Notes</t>
  </si>
  <si>
    <t xml:space="preserve">Start</t>
  </si>
  <si>
    <t xml:space="preserve">End</t>
  </si>
  <si>
    <t xml:space="preserve">Theory</t>
  </si>
  <si>
    <t xml:space="preserve">Practical</t>
  </si>
  <si>
    <t xml:space="preserve">Total</t>
  </si>
  <si>
    <t xml:space="preserve">Checkout Page</t>
  </si>
  <si>
    <t xml:space="preserve">Loading Indicator Place an Order</t>
  </si>
  <si>
    <t xml:space="preserve">Sales Order Model State Init</t>
  </si>
  <si>
    <t xml:space="preserve">Change Validation Attribute Name</t>
  </si>
  <si>
    <t xml:space="preserve">Build Sales Order Detail</t>
  </si>
  <si>
    <t xml:space="preserve">Sales Order Status Transition</t>
  </si>
  <si>
    <t xml:space="preserve">Break Time</t>
  </si>
  <si>
    <t xml:space="preserve">Sales Order Event &amp; Payment Processing</t>
  </si>
  <si>
    <t xml:space="preserve">Build Mail Sales Order Created</t>
  </si>
  <si>
    <t xml:space="preserve">Send SMTP Mail Test</t>
  </si>
  <si>
    <t xml:space="preserve">Completing All Mail Sales Order Event &amp; Listener</t>
  </si>
  <si>
    <t xml:space="preserve">Laravel Reverb – Sales Order Global Notification</t>
  </si>
  <si>
    <t xml:space="preserve">View Filament Resouce Sales Order</t>
  </si>
  <si>
    <t xml:space="preserve">Filament Sales Order Action</t>
  </si>
  <si>
    <t xml:space="preserve">Install Filament Breezy</t>
  </si>
  <si>
    <t xml:space="preserve">User Resources</t>
  </si>
  <si>
    <t xml:space="preserve">Filament Shield &amp; Permission</t>
  </si>
  <si>
    <t xml:space="preserve">Integrasi Shipping API KURIR</t>
  </si>
  <si>
    <t xml:space="preserve">Register Moota.co</t>
  </si>
  <si>
    <t xml:space="preserve">Create Transaction via Moota.co</t>
  </si>
  <si>
    <t xml:space="preserve">Handling Payment State Sales Order Detail</t>
  </si>
  <si>
    <t xml:space="preserve">Due Date Command &amp; Return Stock</t>
  </si>
  <si>
    <t xml:space="preserve">Mocking Moota Webhook</t>
  </si>
  <si>
    <t xml:space="preserve">Static Page</t>
  </si>
  <si>
    <t xml:space="preserve">Ubah Moota Config ke Env</t>
  </si>
  <si>
    <t xml:space="preserve">Activity Log Tracking</t>
  </si>
  <si>
    <t xml:space="preserve">Push To Github</t>
  </si>
  <si>
    <t xml:space="preserve">Deployment</t>
  </si>
  <si>
    <t xml:space="preserve">Initial Setup &amp; Basic Security</t>
  </si>
  <si>
    <t xml:space="preserve">Setup &amp; Config PHP 8.3</t>
  </si>
  <si>
    <t xml:space="preserve">Setup &amp; Config Database MySQL</t>
  </si>
  <si>
    <t xml:space="preserve">Setup &amp; Config Nginx + SSL</t>
  </si>
  <si>
    <t xml:space="preserve">Setup &amp; Config Redis Server</t>
  </si>
  <si>
    <t xml:space="preserve">Install Composer</t>
  </si>
  <si>
    <t xml:space="preserve">Install GIT</t>
  </si>
  <si>
    <t xml:space="preserve">Install NodeJS + NPM</t>
  </si>
  <si>
    <t xml:space="preserve">Setup + Initial Config Supervisor</t>
  </si>
  <si>
    <t xml:space="preserve">Setup Laravel Webstore</t>
  </si>
  <si>
    <t xml:space="preserve">Setting Moota + Demo</t>
  </si>
  <si>
    <t xml:space="preserve">Penutup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</si>
</sst>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d&quot;, &quot;dd/mm/yyyy"/>
    <numFmt numFmtId="166" formatCode="hh:mm:ss"/>
    <numFmt numFmtId="167" formatCode="0"/>
    <numFmt numFmtId="168" formatCode="[$-809]ddd&quot;, &quot;dd/m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D8C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E40" activeCellId="0" sqref="E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45"/>
    <col collapsed="false" customWidth="true" hidden="false" outlineLevel="0" max="2" min="2" style="2" width="16.69"/>
    <col collapsed="false" customWidth="false" hidden="false" outlineLevel="0" max="4" min="3" style="3" width="11.53"/>
    <col collapsed="false" customWidth="true" hidden="false" outlineLevel="0" max="5" min="5" style="3" width="12.23"/>
    <col collapsed="false" customWidth="true" hidden="false" outlineLevel="0" max="6" min="6" style="3" width="13.91"/>
    <col collapsed="false" customWidth="true" hidden="false" outlineLevel="0" max="7" min="7" style="3" width="12.66"/>
    <col collapsed="false" customWidth="true" hidden="false" outlineLevel="0" max="8" min="8" style="4" width="8.9"/>
    <col collapsed="false" customWidth="true" hidden="false" outlineLevel="0" max="9" min="9" style="1" width="41.36"/>
    <col collapsed="false" customWidth="true" hidden="false" outlineLevel="0" max="10" min="10" style="1" width="16.55"/>
    <col collapsed="false" customWidth="true" hidden="false" outlineLevel="0" max="11" min="11" style="1" width="46.32"/>
  </cols>
  <sheetData>
    <row r="1" customFormat="false" ht="12.8" hidden="false" customHeight="false" outlineLevel="0" collapsed="false">
      <c r="A1" s="5" t="s">
        <v>0</v>
      </c>
      <c r="B1" s="5" t="s">
        <v>1</v>
      </c>
      <c r="C1" s="6" t="s">
        <v>2</v>
      </c>
      <c r="D1" s="6" t="s">
        <v>3</v>
      </c>
      <c r="E1" s="6" t="s">
        <v>3</v>
      </c>
      <c r="F1" s="6"/>
      <c r="G1" s="6"/>
      <c r="H1" s="7" t="s">
        <v>4</v>
      </c>
      <c r="I1" s="5" t="s">
        <v>5</v>
      </c>
      <c r="J1" s="5" t="s">
        <v>6</v>
      </c>
      <c r="K1" s="5" t="s">
        <v>7</v>
      </c>
      <c r="L1" s="1"/>
    </row>
    <row r="2" customFormat="false" ht="12.8" hidden="false" customHeight="false" outlineLevel="0" collapsed="false">
      <c r="A2" s="5"/>
      <c r="B2" s="5"/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7"/>
      <c r="I2" s="5"/>
      <c r="J2" s="5"/>
      <c r="K2" s="5"/>
      <c r="L2" s="1"/>
    </row>
    <row r="3" customFormat="false" ht="12.8" hidden="false" customHeight="false" outlineLevel="0" collapsed="false">
      <c r="A3" s="8" t="s">
        <v>13</v>
      </c>
      <c r="B3" s="9" t="n">
        <v>46308</v>
      </c>
      <c r="C3" s="10" t="n">
        <v>0.833333333333333</v>
      </c>
      <c r="D3" s="10" t="n">
        <f aca="false">C3+G3</f>
        <v>0.836805555555556</v>
      </c>
      <c r="E3" s="10" t="n">
        <v>0.00138888888888889</v>
      </c>
      <c r="F3" s="10" t="n">
        <f aca="false">E3*1.5</f>
        <v>0.00208333333333333</v>
      </c>
      <c r="G3" s="10" t="n">
        <f aca="false">E3+F3</f>
        <v>0.00347222222222222</v>
      </c>
      <c r="H3" s="11" t="n">
        <v>16</v>
      </c>
      <c r="I3" s="12" t="s">
        <v>14</v>
      </c>
      <c r="J3" s="13"/>
      <c r="K3" s="13"/>
    </row>
    <row r="4" customFormat="false" ht="12.8" hidden="false" customHeight="false" outlineLevel="0" collapsed="false">
      <c r="A4" s="8"/>
      <c r="B4" s="9"/>
      <c r="C4" s="10" t="n">
        <f aca="false">IF(D3&gt;=TIME(21,45,0),TIME(20,0,0),D3)</f>
        <v>0.836805555555556</v>
      </c>
      <c r="D4" s="10" t="n">
        <f aca="false">C4+G4</f>
        <v>0.851938657407407</v>
      </c>
      <c r="E4" s="10" t="n">
        <v>0.00605324074074074</v>
      </c>
      <c r="F4" s="10" t="n">
        <f aca="false">E4*1.5</f>
        <v>0.00907986111111111</v>
      </c>
      <c r="G4" s="10" t="n">
        <f aca="false">E4+F4</f>
        <v>0.0151331018518519</v>
      </c>
      <c r="H4" s="11" t="n">
        <v>17</v>
      </c>
      <c r="I4" s="12" t="s">
        <v>15</v>
      </c>
      <c r="J4" s="13"/>
      <c r="K4" s="13"/>
    </row>
    <row r="5" customFormat="false" ht="12.8" hidden="false" customHeight="false" outlineLevel="0" collapsed="false">
      <c r="A5" s="8"/>
      <c r="B5" s="9"/>
      <c r="C5" s="10" t="n">
        <f aca="false">IF(D4&gt;=TIME(21,45,0),TIME(20,0,0),D4)</f>
        <v>0.851938657407407</v>
      </c>
      <c r="D5" s="10" t="n">
        <f aca="false">C5+G5</f>
        <v>0.857638888888889</v>
      </c>
      <c r="E5" s="10" t="n">
        <v>0.00228009259259259</v>
      </c>
      <c r="F5" s="10" t="n">
        <f aca="false">E5*1.5</f>
        <v>0.00342013888888889</v>
      </c>
      <c r="G5" s="10" t="n">
        <f aca="false">E5+F5</f>
        <v>0.00570023148148148</v>
      </c>
      <c r="H5" s="11" t="n">
        <v>18</v>
      </c>
      <c r="I5" s="12" t="s">
        <v>16</v>
      </c>
      <c r="J5" s="13"/>
      <c r="K5" s="13"/>
    </row>
    <row r="6" customFormat="false" ht="12.8" hidden="false" customHeight="false" outlineLevel="0" collapsed="false">
      <c r="A6" s="8"/>
      <c r="B6" s="9"/>
      <c r="C6" s="10" t="n">
        <f aca="false">IF(D5&gt;=TIME(21,45,0),TIME(20,0,0),D5)</f>
        <v>0.857638888888889</v>
      </c>
      <c r="D6" s="10" t="n">
        <f aca="false">C6+G6</f>
        <v>0.871122685185185</v>
      </c>
      <c r="E6" s="10" t="n">
        <v>0.00539351851851852</v>
      </c>
      <c r="F6" s="10" t="n">
        <f aca="false">E6*1.5</f>
        <v>0.00809027777777778</v>
      </c>
      <c r="G6" s="10" t="n">
        <f aca="false">E6+F6</f>
        <v>0.0134837962962963</v>
      </c>
      <c r="H6" s="11" t="n">
        <v>19</v>
      </c>
      <c r="I6" s="12" t="s">
        <v>17</v>
      </c>
      <c r="J6" s="13"/>
      <c r="K6" s="13"/>
    </row>
    <row r="7" customFormat="false" ht="12.8" hidden="false" customHeight="false" outlineLevel="0" collapsed="false">
      <c r="A7" s="8"/>
      <c r="B7" s="9"/>
      <c r="C7" s="10" t="n">
        <f aca="false">IF(D6&gt;=TIME(21,45,0),TIME(20,0,0),D6)</f>
        <v>0.871122685185185</v>
      </c>
      <c r="D7" s="10" t="n">
        <f aca="false">C7+G7</f>
        <v>0.879716435185185</v>
      </c>
      <c r="E7" s="10" t="n">
        <v>0.0034375</v>
      </c>
      <c r="F7" s="10" t="n">
        <f aca="false">E7*1.5</f>
        <v>0.00515625</v>
      </c>
      <c r="G7" s="10" t="n">
        <f aca="false">E7+F7</f>
        <v>0.00859375</v>
      </c>
      <c r="H7" s="11" t="n">
        <v>20</v>
      </c>
      <c r="I7" s="12" t="s">
        <v>18</v>
      </c>
      <c r="J7" s="13"/>
      <c r="K7" s="13"/>
    </row>
    <row r="8" customFormat="false" ht="12.8" hidden="false" customHeight="false" outlineLevel="0" collapsed="false">
      <c r="A8" s="8"/>
      <c r="B8" s="9"/>
      <c r="C8" s="14" t="n">
        <f aca="false">IF(D7&gt;=TIME(21,45,0),TIME(20,0,0),D7)</f>
        <v>0.879716435185185</v>
      </c>
      <c r="D8" s="14" t="n">
        <f aca="false">C8+G8</f>
        <v>0.88666087962963</v>
      </c>
      <c r="E8" s="14" t="n">
        <v>0.00694444444444444</v>
      </c>
      <c r="F8" s="14" t="n">
        <v>0</v>
      </c>
      <c r="G8" s="14" t="n">
        <f aca="false">E8+F8</f>
        <v>0.00694444444444444</v>
      </c>
      <c r="H8" s="15"/>
      <c r="I8" s="16" t="s">
        <v>19</v>
      </c>
      <c r="J8" s="16"/>
      <c r="K8" s="16"/>
    </row>
    <row r="9" customFormat="false" ht="12.8" hidden="false" customHeight="false" outlineLevel="0" collapsed="false">
      <c r="A9" s="8"/>
      <c r="B9" s="9"/>
      <c r="C9" s="10" t="n">
        <f aca="false">IF(D8&gt;=TIME(21,45,0),TIME(20,0,0),D8)</f>
        <v>0.88666087962963</v>
      </c>
      <c r="D9" s="10" t="n">
        <f aca="false">C9+G9</f>
        <v>0.898784722222222</v>
      </c>
      <c r="E9" s="10" t="n">
        <v>0.00484953703703704</v>
      </c>
      <c r="F9" s="10" t="n">
        <f aca="false">E9*1.5</f>
        <v>0.00727430555555556</v>
      </c>
      <c r="G9" s="10" t="n">
        <f aca="false">E9+F9</f>
        <v>0.0121238425925926</v>
      </c>
      <c r="H9" s="11" t="n">
        <v>21</v>
      </c>
      <c r="I9" s="12" t="s">
        <v>20</v>
      </c>
      <c r="J9" s="13"/>
      <c r="K9" s="13"/>
    </row>
    <row r="10" customFormat="false" ht="12.8" hidden="false" customHeight="false" outlineLevel="0" collapsed="false">
      <c r="A10" s="8"/>
      <c r="B10" s="9"/>
      <c r="C10" s="10" t="n">
        <f aca="false">IF(D9&gt;=TIME(21,45,0),TIME(20,0,0),D9)</f>
        <v>0.898784722222222</v>
      </c>
      <c r="D10" s="10" t="n">
        <f aca="false">C10+G10</f>
        <v>0.904918981481482</v>
      </c>
      <c r="E10" s="10" t="n">
        <v>0.0024537037037037</v>
      </c>
      <c r="F10" s="10" t="n">
        <f aca="false">E10*1.5</f>
        <v>0.00368055555555556</v>
      </c>
      <c r="G10" s="10" t="n">
        <f aca="false">E10+F10</f>
        <v>0.00613425925925926</v>
      </c>
      <c r="H10" s="11" t="n">
        <v>22</v>
      </c>
      <c r="I10" s="12" t="s">
        <v>21</v>
      </c>
      <c r="J10" s="13"/>
      <c r="K10" s="13"/>
    </row>
    <row r="11" customFormat="false" ht="12.8" hidden="false" customHeight="false" outlineLevel="0" collapsed="false">
      <c r="A11" s="8"/>
      <c r="B11" s="9"/>
      <c r="C11" s="10" t="n">
        <f aca="false">IF(D10&gt;=TIME(21,45,0),TIME(20,0,0),D10)</f>
        <v>0.904918981481482</v>
      </c>
      <c r="D11" s="10" t="n">
        <f aca="false">C11+G11</f>
        <v>0.913744212962963</v>
      </c>
      <c r="E11" s="10" t="n">
        <v>0.00353009259259259</v>
      </c>
      <c r="F11" s="10" t="n">
        <f aca="false">E11*1.5</f>
        <v>0.00529513888888889</v>
      </c>
      <c r="G11" s="10" t="n">
        <f aca="false">E11+F11</f>
        <v>0.00882523148148148</v>
      </c>
      <c r="H11" s="11" t="n">
        <v>23</v>
      </c>
      <c r="I11" s="12" t="s">
        <v>22</v>
      </c>
      <c r="J11" s="13"/>
      <c r="K11" s="13"/>
    </row>
    <row r="12" customFormat="false" ht="12.8" hidden="false" customHeight="false" outlineLevel="0" collapsed="false">
      <c r="A12" s="8"/>
      <c r="B12" s="9" t="n">
        <v>46309</v>
      </c>
      <c r="C12" s="10" t="n">
        <f aca="false">IF(D11&gt;=TIME(21,45,0),TIME(20,0,0),D11)</f>
        <v>0.833333333333333</v>
      </c>
      <c r="D12" s="10" t="n">
        <f aca="false">C12+G12</f>
        <v>0.875752314814815</v>
      </c>
      <c r="E12" s="10" t="n">
        <v>0.0169675925925926</v>
      </c>
      <c r="F12" s="10" t="n">
        <f aca="false">E12*1.5</f>
        <v>0.0254513888888889</v>
      </c>
      <c r="G12" s="10" t="n">
        <f aca="false">E12+F12</f>
        <v>0.0424189814814815</v>
      </c>
      <c r="H12" s="11" t="n">
        <v>24</v>
      </c>
      <c r="I12" s="12" t="s">
        <v>23</v>
      </c>
      <c r="J12" s="13"/>
      <c r="K12" s="13"/>
    </row>
    <row r="13" customFormat="false" ht="12.8" hidden="false" customHeight="false" outlineLevel="0" collapsed="false">
      <c r="A13" s="8"/>
      <c r="B13" s="9"/>
      <c r="C13" s="14" t="n">
        <f aca="false">IF(D12&gt;=TIME(21,45,0),TIME(20,0,0),D12)</f>
        <v>0.875752314814815</v>
      </c>
      <c r="D13" s="14" t="n">
        <f aca="false">C13+G13</f>
        <v>0.882696759259259</v>
      </c>
      <c r="E13" s="14" t="n">
        <v>0.00694444444444444</v>
      </c>
      <c r="F13" s="14" t="n">
        <v>0</v>
      </c>
      <c r="G13" s="14" t="n">
        <f aca="false">E13+F13</f>
        <v>0.00694444444444444</v>
      </c>
      <c r="H13" s="15"/>
      <c r="I13" s="16" t="s">
        <v>19</v>
      </c>
      <c r="J13" s="16"/>
      <c r="K13" s="16"/>
    </row>
    <row r="14" customFormat="false" ht="12.8" hidden="false" customHeight="false" outlineLevel="0" collapsed="false">
      <c r="A14" s="8"/>
      <c r="B14" s="9"/>
      <c r="C14" s="10" t="n">
        <f aca="false">IF(D13&gt;=TIME(21,45,0),TIME(20,0,0),D13)</f>
        <v>0.882696759259259</v>
      </c>
      <c r="D14" s="10" t="n">
        <f aca="false">C14+G14</f>
        <v>0.89837962962963</v>
      </c>
      <c r="E14" s="10" t="n">
        <v>0.00627314814814815</v>
      </c>
      <c r="F14" s="10" t="n">
        <f aca="false">E14*1.5</f>
        <v>0.00940972222222222</v>
      </c>
      <c r="G14" s="10" t="n">
        <f aca="false">E14+F14</f>
        <v>0.0156828703703704</v>
      </c>
      <c r="H14" s="11" t="n">
        <v>25</v>
      </c>
      <c r="I14" s="12" t="s">
        <v>24</v>
      </c>
      <c r="J14" s="13"/>
      <c r="K14" s="13"/>
    </row>
    <row r="15" customFormat="false" ht="12.8" hidden="false" customHeight="false" outlineLevel="0" collapsed="false">
      <c r="A15" s="8"/>
      <c r="B15" s="9"/>
      <c r="C15" s="10" t="n">
        <f aca="false">IF(D14&gt;=TIME(21,45,0),TIME(20,0,0),D14)</f>
        <v>0.89837962962963</v>
      </c>
      <c r="D15" s="10" t="n">
        <f aca="false">C15+G15</f>
        <v>0.934172453703704</v>
      </c>
      <c r="E15" s="10" t="n">
        <v>0.0143171296296296</v>
      </c>
      <c r="F15" s="10" t="n">
        <f aca="false">E15*1.5</f>
        <v>0.0214756944444444</v>
      </c>
      <c r="G15" s="10" t="n">
        <f aca="false">E15+F15</f>
        <v>0.0357928240740741</v>
      </c>
      <c r="H15" s="11" t="n">
        <v>26</v>
      </c>
      <c r="I15" s="12" t="s">
        <v>25</v>
      </c>
      <c r="J15" s="13"/>
      <c r="K15" s="13"/>
    </row>
    <row r="16" customFormat="false" ht="12.8" hidden="false" customHeight="false" outlineLevel="0" collapsed="false">
      <c r="A16" s="8"/>
      <c r="B16" s="9" t="n">
        <v>46310</v>
      </c>
      <c r="C16" s="10" t="n">
        <f aca="false">IF(D15&gt;=TIME(21,45,0),TIME(20,0,0),D15)</f>
        <v>0.833333333333333</v>
      </c>
      <c r="D16" s="10" t="n">
        <f aca="false">C16+G16</f>
        <v>0.854542824074074</v>
      </c>
      <c r="E16" s="10" t="n">
        <v>0.0084837962962963</v>
      </c>
      <c r="F16" s="10" t="n">
        <f aca="false">E16*1.5</f>
        <v>0.0127256944444444</v>
      </c>
      <c r="G16" s="10" t="n">
        <f aca="false">E16+F16</f>
        <v>0.0212094907407407</v>
      </c>
      <c r="H16" s="11" t="n">
        <v>27</v>
      </c>
      <c r="I16" s="12" t="s">
        <v>26</v>
      </c>
      <c r="J16" s="13"/>
      <c r="K16" s="13"/>
    </row>
    <row r="17" customFormat="false" ht="12.8" hidden="false" customHeight="false" outlineLevel="0" collapsed="false">
      <c r="A17" s="8"/>
      <c r="B17" s="9"/>
      <c r="C17" s="10" t="n">
        <f aca="false">IF(D16&gt;=TIME(21,45,0),TIME(20,0,0),D16)</f>
        <v>0.854542824074074</v>
      </c>
      <c r="D17" s="10" t="n">
        <f aca="false">C17+G17</f>
        <v>0.859548611111111</v>
      </c>
      <c r="E17" s="10" t="n">
        <v>0.00200231481481482</v>
      </c>
      <c r="F17" s="10" t="n">
        <f aca="false">E17*1.5</f>
        <v>0.00300347222222222</v>
      </c>
      <c r="G17" s="10" t="n">
        <f aca="false">E17+F17</f>
        <v>0.00500578703703704</v>
      </c>
      <c r="H17" s="11" t="n">
        <v>28</v>
      </c>
      <c r="I17" s="12" t="s">
        <v>27</v>
      </c>
      <c r="J17" s="13"/>
      <c r="K17" s="13"/>
    </row>
    <row r="18" customFormat="false" ht="12.8" hidden="false" customHeight="false" outlineLevel="0" collapsed="false">
      <c r="A18" s="8"/>
      <c r="B18" s="9"/>
      <c r="C18" s="10" t="n">
        <f aca="false">IF(D17&gt;=TIME(21,45,0),TIME(20,0,0),D17)</f>
        <v>0.859548611111111</v>
      </c>
      <c r="D18" s="10" t="n">
        <f aca="false">C18+G18</f>
        <v>0.869097222222222</v>
      </c>
      <c r="E18" s="10" t="n">
        <v>0.00381944444444444</v>
      </c>
      <c r="F18" s="10" t="n">
        <f aca="false">E18*1.5</f>
        <v>0.00572916666666667</v>
      </c>
      <c r="G18" s="10" t="n">
        <f aca="false">E18+F18</f>
        <v>0.00954861111111111</v>
      </c>
      <c r="H18" s="11" t="n">
        <v>29</v>
      </c>
      <c r="I18" s="12" t="s">
        <v>28</v>
      </c>
      <c r="J18" s="13"/>
      <c r="K18" s="13"/>
    </row>
    <row r="19" customFormat="false" ht="12.8" hidden="false" customHeight="false" outlineLevel="0" collapsed="false">
      <c r="A19" s="8"/>
      <c r="B19" s="9"/>
      <c r="C19" s="10" t="n">
        <f aca="false">IF(D18&gt;=TIME(21,45,0),TIME(20,0,0),D18)</f>
        <v>0.869097222222222</v>
      </c>
      <c r="D19" s="10" t="n">
        <f aca="false">C19+G19</f>
        <v>0.876996527777778</v>
      </c>
      <c r="E19" s="10" t="n">
        <v>0.00315972222222222</v>
      </c>
      <c r="F19" s="10" t="n">
        <f aca="false">E19*1.5</f>
        <v>0.00473958333333333</v>
      </c>
      <c r="G19" s="10" t="n">
        <f aca="false">E19+F19</f>
        <v>0.00789930555555556</v>
      </c>
      <c r="H19" s="11" t="n">
        <v>30</v>
      </c>
      <c r="I19" s="12" t="s">
        <v>29</v>
      </c>
      <c r="J19" s="13"/>
      <c r="K19" s="13"/>
    </row>
    <row r="20" customFormat="false" ht="12.8" hidden="false" customHeight="false" outlineLevel="0" collapsed="false">
      <c r="A20" s="8"/>
      <c r="B20" s="9"/>
      <c r="C20" s="14" t="n">
        <f aca="false">IF(D19&gt;=TIME(21,45,0),TIME(20,0,0),D19)</f>
        <v>0.876996527777778</v>
      </c>
      <c r="D20" s="14" t="n">
        <f aca="false">C20+G20</f>
        <v>0.883940972222222</v>
      </c>
      <c r="E20" s="14" t="n">
        <v>0.00694444444444444</v>
      </c>
      <c r="F20" s="14" t="n">
        <v>0</v>
      </c>
      <c r="G20" s="14" t="n">
        <f aca="false">E20+F20</f>
        <v>0.00694444444444444</v>
      </c>
      <c r="H20" s="15"/>
      <c r="I20" s="16" t="s">
        <v>19</v>
      </c>
      <c r="J20" s="16"/>
      <c r="K20" s="16"/>
    </row>
    <row r="21" customFormat="false" ht="12.8" hidden="false" customHeight="false" outlineLevel="0" collapsed="false">
      <c r="A21" s="8"/>
      <c r="B21" s="9"/>
      <c r="C21" s="10" t="n">
        <f aca="false">IF(D20&gt;=TIME(21,45,0),TIME(20,0,0),D20)</f>
        <v>0.883940972222222</v>
      </c>
      <c r="D21" s="10" t="n">
        <f aca="false">C21+G21</f>
        <v>0.907060185185185</v>
      </c>
      <c r="E21" s="10" t="n">
        <v>0.00924768518518519</v>
      </c>
      <c r="F21" s="10" t="n">
        <f aca="false">E21*1.5</f>
        <v>0.0138715277777778</v>
      </c>
      <c r="G21" s="10" t="n">
        <f aca="false">E21+F21</f>
        <v>0.023119212962963</v>
      </c>
      <c r="H21" s="11" t="n">
        <v>31</v>
      </c>
      <c r="I21" s="12" t="s">
        <v>30</v>
      </c>
      <c r="J21" s="13"/>
      <c r="K21" s="13"/>
    </row>
    <row r="22" customFormat="false" ht="12.8" hidden="false" customHeight="false" outlineLevel="0" collapsed="false">
      <c r="A22" s="8"/>
      <c r="B22" s="9" t="n">
        <v>46311</v>
      </c>
      <c r="C22" s="10" t="n">
        <f aca="false">IF(D21&gt;=TIME(21,45,0),TIME(20,0,0),D21)</f>
        <v>0.833333333333333</v>
      </c>
      <c r="D22" s="10" t="n">
        <f aca="false">C22+G22</f>
        <v>0.837644675925926</v>
      </c>
      <c r="E22" s="10" t="n">
        <v>0.00172453703703704</v>
      </c>
      <c r="F22" s="10" t="n">
        <f aca="false">E22*1.5</f>
        <v>0.00258680555555556</v>
      </c>
      <c r="G22" s="10" t="n">
        <f aca="false">E22+F22</f>
        <v>0.00431134259259259</v>
      </c>
      <c r="H22" s="11" t="n">
        <v>32</v>
      </c>
      <c r="I22" s="12" t="s">
        <v>31</v>
      </c>
      <c r="J22" s="13"/>
      <c r="K22" s="13"/>
    </row>
    <row r="23" customFormat="false" ht="12.8" hidden="false" customHeight="false" outlineLevel="0" collapsed="false">
      <c r="A23" s="8"/>
      <c r="B23" s="9"/>
      <c r="C23" s="10" t="n">
        <f aca="false">IF(D22&gt;=TIME(21,45,0),TIME(20,0,0),D22)</f>
        <v>0.837644675925926</v>
      </c>
      <c r="D23" s="10" t="n">
        <f aca="false">C23+G23</f>
        <v>0.865075231481482</v>
      </c>
      <c r="E23" s="10" t="n">
        <v>0.0109722222222222</v>
      </c>
      <c r="F23" s="10" t="n">
        <f aca="false">E23*1.5</f>
        <v>0.0164583333333333</v>
      </c>
      <c r="G23" s="10" t="n">
        <f aca="false">E23+F23</f>
        <v>0.0274305555555556</v>
      </c>
      <c r="H23" s="11" t="n">
        <v>33</v>
      </c>
      <c r="I23" s="12" t="s">
        <v>32</v>
      </c>
      <c r="J23" s="13"/>
      <c r="K23" s="13"/>
    </row>
    <row r="24" customFormat="false" ht="12.8" hidden="false" customHeight="false" outlineLevel="0" collapsed="false">
      <c r="A24" s="8"/>
      <c r="B24" s="9"/>
      <c r="C24" s="10" t="n">
        <f aca="false">IF(D23&gt;=TIME(21,45,0),TIME(20,0,0),D23)</f>
        <v>0.865075231481482</v>
      </c>
      <c r="D24" s="10" t="n">
        <f aca="false">C24+G24</f>
        <v>0.869241898148148</v>
      </c>
      <c r="E24" s="10" t="n">
        <v>0.00166666666666667</v>
      </c>
      <c r="F24" s="10" t="n">
        <f aca="false">E24*1.5</f>
        <v>0.0025</v>
      </c>
      <c r="G24" s="10" t="n">
        <f aca="false">E24+F24</f>
        <v>0.00416666666666667</v>
      </c>
      <c r="H24" s="11" t="n">
        <v>34</v>
      </c>
      <c r="I24" s="12" t="s">
        <v>33</v>
      </c>
      <c r="J24" s="13"/>
      <c r="K24" s="13"/>
    </row>
    <row r="25" customFormat="false" ht="12.8" hidden="false" customHeight="false" outlineLevel="0" collapsed="false">
      <c r="A25" s="8"/>
      <c r="B25" s="9"/>
      <c r="C25" s="10" t="n">
        <f aca="false">IF(D24&gt;=TIME(21,45,0),TIME(20,0,0),D24)</f>
        <v>0.869241898148148</v>
      </c>
      <c r="D25" s="10" t="n">
        <f aca="false">C25+G25</f>
        <v>0.881076388888889</v>
      </c>
      <c r="E25" s="10" t="n">
        <v>0.0047337962962963</v>
      </c>
      <c r="F25" s="10" t="n">
        <f aca="false">E25*1.5</f>
        <v>0.00710069444444445</v>
      </c>
      <c r="G25" s="10" t="n">
        <f aca="false">E25+F25</f>
        <v>0.0118344907407407</v>
      </c>
      <c r="H25" s="11" t="n">
        <v>35</v>
      </c>
      <c r="I25" s="12" t="s">
        <v>34</v>
      </c>
      <c r="J25" s="13"/>
      <c r="K25" s="13"/>
    </row>
    <row r="26" customFormat="false" ht="12.8" hidden="false" customHeight="false" outlineLevel="0" collapsed="false">
      <c r="A26" s="8"/>
      <c r="B26" s="9"/>
      <c r="C26" s="14" t="n">
        <f aca="false">IF(D25&gt;=TIME(21,45,0),TIME(20,0,0),D25)</f>
        <v>0.881076388888889</v>
      </c>
      <c r="D26" s="14" t="n">
        <f aca="false">C26+G26</f>
        <v>0.888020833333333</v>
      </c>
      <c r="E26" s="14" t="n">
        <v>0.00694444444444444</v>
      </c>
      <c r="F26" s="14" t="n">
        <v>0</v>
      </c>
      <c r="G26" s="14" t="n">
        <f aca="false">E26+F26</f>
        <v>0.00694444444444444</v>
      </c>
      <c r="H26" s="15"/>
      <c r="I26" s="16" t="s">
        <v>19</v>
      </c>
      <c r="J26" s="16"/>
      <c r="K26" s="16"/>
    </row>
    <row r="27" customFormat="false" ht="12.8" hidden="false" customHeight="false" outlineLevel="0" collapsed="false">
      <c r="A27" s="8"/>
      <c r="B27" s="9"/>
      <c r="C27" s="10" t="n">
        <f aca="false">IF(D26&gt;=TIME(21,45,0),TIME(20,0,0),D26)</f>
        <v>0.888020833333333</v>
      </c>
      <c r="D27" s="10" t="n">
        <f aca="false">C27+G27</f>
        <v>0.91177662037037</v>
      </c>
      <c r="E27" s="10" t="n">
        <v>0.00950231481481481</v>
      </c>
      <c r="F27" s="10" t="n">
        <f aca="false">E27*1.5</f>
        <v>0.0142534722222222</v>
      </c>
      <c r="G27" s="10" t="n">
        <f aca="false">E27+F27</f>
        <v>0.023755787037037</v>
      </c>
      <c r="H27" s="11" t="n">
        <v>36</v>
      </c>
      <c r="I27" s="12" t="s">
        <v>35</v>
      </c>
      <c r="J27" s="13"/>
      <c r="K27" s="13"/>
    </row>
    <row r="28" customFormat="false" ht="12.8" hidden="false" customHeight="false" outlineLevel="0" collapsed="false">
      <c r="A28" s="8"/>
      <c r="B28" s="9" t="n">
        <v>46312</v>
      </c>
      <c r="C28" s="10" t="n">
        <f aca="false">IF(D27&gt;=TIME(13,45,0),TIME(13,0,0),D27)</f>
        <v>0.541666666666667</v>
      </c>
      <c r="D28" s="10" t="n">
        <f aca="false">C28+G28</f>
        <v>0.552054398148148</v>
      </c>
      <c r="E28" s="10" t="n">
        <v>0.00415509259259259</v>
      </c>
      <c r="F28" s="10" t="n">
        <f aca="false">E28*1.5</f>
        <v>0.00623263888888889</v>
      </c>
      <c r="G28" s="10" t="n">
        <f aca="false">E28+F28</f>
        <v>0.0103877314814815</v>
      </c>
      <c r="H28" s="11" t="n">
        <v>37</v>
      </c>
      <c r="I28" s="12" t="s">
        <v>36</v>
      </c>
      <c r="J28" s="13"/>
      <c r="K28" s="13"/>
    </row>
    <row r="29" customFormat="false" ht="12.8" hidden="false" customHeight="false" outlineLevel="0" collapsed="false">
      <c r="A29" s="8"/>
      <c r="B29" s="9"/>
      <c r="C29" s="10" t="n">
        <f aca="false">IF(D28&gt;=TIME(21,45,0),TIME(20,0,0),D28)</f>
        <v>0.552054398148148</v>
      </c>
      <c r="D29" s="10" t="n">
        <f aca="false">C29+G29</f>
        <v>0.55775462962963</v>
      </c>
      <c r="E29" s="10" t="n">
        <v>0.00228009259259259</v>
      </c>
      <c r="F29" s="10" t="n">
        <f aca="false">E29*1.5</f>
        <v>0.00342013888888889</v>
      </c>
      <c r="G29" s="10" t="n">
        <f aca="false">E29+F29</f>
        <v>0.00570023148148148</v>
      </c>
      <c r="H29" s="11" t="n">
        <v>38</v>
      </c>
      <c r="I29" s="12" t="s">
        <v>37</v>
      </c>
      <c r="J29" s="13"/>
      <c r="K29" s="13"/>
    </row>
    <row r="30" customFormat="false" ht="12.8" hidden="false" customHeight="false" outlineLevel="0" collapsed="false">
      <c r="A30" s="8"/>
      <c r="B30" s="9"/>
      <c r="C30" s="10" t="n">
        <f aca="false">IF(D29&gt;=TIME(21,45,0),TIME(20,0,0),D29)</f>
        <v>0.55775462962963</v>
      </c>
      <c r="D30" s="10" t="n">
        <f aca="false">C30+G30</f>
        <v>0.562528935185185</v>
      </c>
      <c r="E30" s="10" t="n">
        <v>0.00190972222222222</v>
      </c>
      <c r="F30" s="10" t="n">
        <f aca="false">E30*1.5</f>
        <v>0.00286458333333333</v>
      </c>
      <c r="G30" s="10" t="n">
        <f aca="false">E30+F30</f>
        <v>0.00477430555555556</v>
      </c>
      <c r="H30" s="11" t="n">
        <v>39</v>
      </c>
      <c r="I30" s="12" t="s">
        <v>38</v>
      </c>
      <c r="J30" s="13"/>
      <c r="K30" s="13"/>
    </row>
    <row r="31" customFormat="false" ht="12.8" hidden="false" customHeight="false" outlineLevel="0" collapsed="false">
      <c r="A31" s="8"/>
      <c r="B31" s="9"/>
      <c r="C31" s="10" t="n">
        <f aca="false">IF(D30&gt;=TIME(21,45,0),TIME(20,0,0),D30)</f>
        <v>0.562528935185185</v>
      </c>
      <c r="D31" s="10" t="n">
        <f aca="false">C31+G31</f>
        <v>0.570688657407407</v>
      </c>
      <c r="E31" s="10" t="n">
        <v>0.00326388888888889</v>
      </c>
      <c r="F31" s="10" t="n">
        <f aca="false">E31*1.5</f>
        <v>0.00489583333333333</v>
      </c>
      <c r="G31" s="10" t="n">
        <f aca="false">E31+F31</f>
        <v>0.00815972222222222</v>
      </c>
      <c r="H31" s="11" t="n">
        <v>40</v>
      </c>
      <c r="I31" s="12" t="s">
        <v>39</v>
      </c>
      <c r="J31" s="13"/>
      <c r="K31" s="13"/>
    </row>
    <row r="32" customFormat="false" ht="12.8" hidden="false" customHeight="false" outlineLevel="0" collapsed="false">
      <c r="A32" s="8" t="s">
        <v>40</v>
      </c>
      <c r="B32" s="9" t="n">
        <v>46314</v>
      </c>
      <c r="C32" s="10" t="n">
        <v>0.833333333333333</v>
      </c>
      <c r="D32" s="10" t="n">
        <f aca="false">C32+G32</f>
        <v>0.852575231481482</v>
      </c>
      <c r="E32" s="10" t="n">
        <v>0.00769675925925926</v>
      </c>
      <c r="F32" s="10" t="n">
        <f aca="false">E32*1.5</f>
        <v>0.0115451388888889</v>
      </c>
      <c r="G32" s="10" t="n">
        <f aca="false">E32+F32</f>
        <v>0.0192418981481481</v>
      </c>
      <c r="H32" s="11" t="n">
        <v>1</v>
      </c>
      <c r="I32" s="13" t="s">
        <v>41</v>
      </c>
      <c r="J32" s="13"/>
      <c r="K32" s="13"/>
    </row>
    <row r="33" customFormat="false" ht="12.8" hidden="false" customHeight="false" outlineLevel="0" collapsed="false">
      <c r="A33" s="8"/>
      <c r="B33" s="9"/>
      <c r="C33" s="10" t="n">
        <f aca="false">IF(D32&gt;=TIME(21,45,0),TIME(20,0,0),D32)</f>
        <v>0.852575231481482</v>
      </c>
      <c r="D33" s="10" t="n">
        <f aca="false">C33+G33</f>
        <v>0.868113425925926</v>
      </c>
      <c r="E33" s="10" t="n">
        <v>0.00621527777777778</v>
      </c>
      <c r="F33" s="10" t="n">
        <f aca="false">E33*1.5</f>
        <v>0.00932291666666667</v>
      </c>
      <c r="G33" s="10" t="n">
        <f aca="false">E33+F33</f>
        <v>0.0155381944444444</v>
      </c>
      <c r="H33" s="11" t="n">
        <v>2</v>
      </c>
      <c r="I33" s="13" t="s">
        <v>42</v>
      </c>
      <c r="J33" s="13"/>
      <c r="K33" s="13"/>
    </row>
    <row r="34" customFormat="false" ht="12.8" hidden="false" customHeight="false" outlineLevel="0" collapsed="false">
      <c r="A34" s="8"/>
      <c r="B34" s="9"/>
      <c r="C34" s="10" t="n">
        <f aca="false">IF(D33&gt;=TIME(21,45,0),TIME(20,0,0),D33)</f>
        <v>0.868113425925926</v>
      </c>
      <c r="D34" s="10" t="n">
        <f aca="false">C34+G34</f>
        <v>0.876331018518519</v>
      </c>
      <c r="E34" s="10" t="n">
        <v>0.00328703703703704</v>
      </c>
      <c r="F34" s="10" t="n">
        <f aca="false">E34*1.5</f>
        <v>0.00493055555555556</v>
      </c>
      <c r="G34" s="10" t="n">
        <f aca="false">E34+F34</f>
        <v>0.00821759259259259</v>
      </c>
      <c r="H34" s="11" t="n">
        <v>3</v>
      </c>
      <c r="I34" s="13" t="s">
        <v>43</v>
      </c>
      <c r="J34" s="13"/>
      <c r="K34" s="13"/>
    </row>
    <row r="35" customFormat="false" ht="12.8" hidden="false" customHeight="false" outlineLevel="0" collapsed="false">
      <c r="A35" s="8"/>
      <c r="B35" s="9"/>
      <c r="C35" s="14" t="n">
        <f aca="false">IF(D34&gt;=TIME(21,45,0),TIME(20,0,0),D34)</f>
        <v>0.876331018518519</v>
      </c>
      <c r="D35" s="14" t="n">
        <f aca="false">C35+G35</f>
        <v>0.883275462962963</v>
      </c>
      <c r="E35" s="14" t="n">
        <v>0.00694444444444444</v>
      </c>
      <c r="F35" s="14" t="n">
        <v>0</v>
      </c>
      <c r="G35" s="14" t="n">
        <f aca="false">E35+F35</f>
        <v>0.00694444444444444</v>
      </c>
      <c r="H35" s="15"/>
      <c r="I35" s="16" t="s">
        <v>19</v>
      </c>
      <c r="J35" s="16"/>
      <c r="K35" s="16"/>
    </row>
    <row r="36" customFormat="false" ht="12.8" hidden="false" customHeight="false" outlineLevel="0" collapsed="false">
      <c r="A36" s="8"/>
      <c r="B36" s="9"/>
      <c r="C36" s="10" t="n">
        <f aca="false">IF(D35&gt;=TIME(21,45,0),TIME(20,0,0),D35)</f>
        <v>0.883275462962963</v>
      </c>
      <c r="D36" s="10" t="n">
        <f aca="false">C36+G36</f>
        <v>0.909635416666667</v>
      </c>
      <c r="E36" s="10" t="n">
        <v>0.0105439814814815</v>
      </c>
      <c r="F36" s="10" t="n">
        <f aca="false">E36*1.5</f>
        <v>0.0158159722222222</v>
      </c>
      <c r="G36" s="10" t="n">
        <f aca="false">E36+F36</f>
        <v>0.0263599537037037</v>
      </c>
      <c r="H36" s="11" t="n">
        <v>4</v>
      </c>
      <c r="I36" s="13" t="s">
        <v>44</v>
      </c>
      <c r="J36" s="13"/>
      <c r="K36" s="13"/>
    </row>
    <row r="37" customFormat="false" ht="12.8" hidden="false" customHeight="false" outlineLevel="0" collapsed="false">
      <c r="A37" s="8"/>
      <c r="B37" s="9" t="n">
        <v>46315</v>
      </c>
      <c r="C37" s="10" t="n">
        <f aca="false">IF(D36&gt;=TIME(21,45,0),TIME(20,0,0),D36)</f>
        <v>0.833333333333333</v>
      </c>
      <c r="D37" s="10" t="n">
        <f aca="false">C37+G37</f>
        <v>0.837355324074074</v>
      </c>
      <c r="E37" s="10" t="n">
        <v>0.0016087962962963</v>
      </c>
      <c r="F37" s="10" t="n">
        <f aca="false">E37*1.5</f>
        <v>0.00241319444444444</v>
      </c>
      <c r="G37" s="10" t="n">
        <f aca="false">E37+F37</f>
        <v>0.00402199074074074</v>
      </c>
      <c r="H37" s="11" t="n">
        <v>5</v>
      </c>
      <c r="I37" s="13" t="s">
        <v>45</v>
      </c>
      <c r="J37" s="13"/>
      <c r="K37" s="13"/>
    </row>
    <row r="38" customFormat="false" ht="12.8" hidden="false" customHeight="false" outlineLevel="0" collapsed="false">
      <c r="A38" s="8"/>
      <c r="B38" s="9"/>
      <c r="C38" s="10" t="n">
        <f aca="false">IF(D37&gt;=TIME(21,45,0),TIME(20,0,0),D37)</f>
        <v>0.837355324074074</v>
      </c>
      <c r="D38" s="10" t="n">
        <f aca="false">C38+G38</f>
        <v>0.838917824074074</v>
      </c>
      <c r="E38" s="10" t="n">
        <v>0.000625</v>
      </c>
      <c r="F38" s="10" t="n">
        <f aca="false">E38*1.5</f>
        <v>0.0009375</v>
      </c>
      <c r="G38" s="10" t="n">
        <f aca="false">E38+F38</f>
        <v>0.0015625</v>
      </c>
      <c r="H38" s="11" t="n">
        <v>6</v>
      </c>
      <c r="I38" s="13" t="s">
        <v>46</v>
      </c>
      <c r="J38" s="13"/>
      <c r="K38" s="13"/>
    </row>
    <row r="39" customFormat="false" ht="12.8" hidden="false" customHeight="false" outlineLevel="0" collapsed="false">
      <c r="A39" s="8"/>
      <c r="B39" s="9"/>
      <c r="C39" s="10" t="n">
        <f aca="false">IF(D38&gt;=TIME(21,45,0),TIME(20,0,0),D38)</f>
        <v>0.838917824074074</v>
      </c>
      <c r="D39" s="10" t="n">
        <f aca="false">C39+G39</f>
        <v>0.839814814814815</v>
      </c>
      <c r="E39" s="10" t="n">
        <v>0.000358796296296296</v>
      </c>
      <c r="F39" s="10" t="n">
        <f aca="false">E39*1.5</f>
        <v>0.000538194444444444</v>
      </c>
      <c r="G39" s="10" t="n">
        <f aca="false">E39+F39</f>
        <v>0.000896990740740741</v>
      </c>
      <c r="H39" s="11" t="n">
        <v>7</v>
      </c>
      <c r="I39" s="13" t="s">
        <v>47</v>
      </c>
      <c r="J39" s="13"/>
      <c r="K39" s="13"/>
    </row>
    <row r="40" customFormat="false" ht="12.8" hidden="false" customHeight="false" outlineLevel="0" collapsed="false">
      <c r="A40" s="8"/>
      <c r="B40" s="9"/>
      <c r="C40" s="10" t="n">
        <f aca="false">IF(D39&gt;=TIME(21,45,0),TIME(20,0,0),D39)</f>
        <v>0.839814814814815</v>
      </c>
      <c r="D40" s="10" t="n">
        <f aca="false">C40+G40</f>
        <v>0.842563657407408</v>
      </c>
      <c r="E40" s="10" t="n">
        <v>0.00109953703703704</v>
      </c>
      <c r="F40" s="10" t="n">
        <f aca="false">E40*1.5</f>
        <v>0.00164930555555556</v>
      </c>
      <c r="G40" s="10" t="n">
        <f aca="false">E40+F40</f>
        <v>0.00274884259259259</v>
      </c>
      <c r="H40" s="11" t="n">
        <v>8</v>
      </c>
      <c r="I40" s="13" t="s">
        <v>48</v>
      </c>
      <c r="J40" s="13"/>
      <c r="K40" s="13"/>
    </row>
    <row r="41" customFormat="false" ht="12.8" hidden="false" customHeight="false" outlineLevel="0" collapsed="false">
      <c r="A41" s="8"/>
      <c r="B41" s="9"/>
      <c r="C41" s="10" t="n">
        <f aca="false">IF(D40&gt;=TIME(21,45,0),TIME(20,0,0),D40)</f>
        <v>0.842563657407408</v>
      </c>
      <c r="D41" s="10" t="n">
        <f aca="false">C41+G41</f>
        <v>0.853761574074074</v>
      </c>
      <c r="E41" s="10" t="n">
        <v>0.00447916666666667</v>
      </c>
      <c r="F41" s="10" t="n">
        <f aca="false">E41*1.5</f>
        <v>0.00671875</v>
      </c>
      <c r="G41" s="10" t="n">
        <f aca="false">E41+F41</f>
        <v>0.0111979166666667</v>
      </c>
      <c r="H41" s="11" t="n">
        <v>9</v>
      </c>
      <c r="I41" s="13" t="s">
        <v>49</v>
      </c>
      <c r="J41" s="13"/>
      <c r="K41" s="13"/>
    </row>
    <row r="42" customFormat="false" ht="12.8" hidden="false" customHeight="false" outlineLevel="0" collapsed="false">
      <c r="A42" s="8"/>
      <c r="B42" s="9"/>
      <c r="C42" s="10" t="n">
        <f aca="false">IF(D41&gt;=TIME(21,45,0),TIME(20,0,0),D41)</f>
        <v>0.853761574074074</v>
      </c>
      <c r="D42" s="10" t="n">
        <f aca="false">C42+G42</f>
        <v>0.868287037037037</v>
      </c>
      <c r="E42" s="10" t="n">
        <v>0.00581018518518519</v>
      </c>
      <c r="F42" s="10" t="n">
        <f aca="false">E42*1.5</f>
        <v>0.00871527777777778</v>
      </c>
      <c r="G42" s="10" t="n">
        <f aca="false">E42+F42</f>
        <v>0.014525462962963</v>
      </c>
      <c r="H42" s="11" t="n">
        <v>10</v>
      </c>
      <c r="I42" s="13" t="s">
        <v>50</v>
      </c>
      <c r="J42" s="13"/>
      <c r="K42" s="13"/>
    </row>
    <row r="43" customFormat="false" ht="12.8" hidden="false" customHeight="false" outlineLevel="0" collapsed="false">
      <c r="A43" s="8"/>
      <c r="B43" s="9"/>
      <c r="C43" s="14" t="n">
        <f aca="false">IF(D42&gt;=TIME(21,45,0),TIME(20,0,0),D42)</f>
        <v>0.868287037037037</v>
      </c>
      <c r="D43" s="14" t="n">
        <f aca="false">C43+G43</f>
        <v>0.875231481481481</v>
      </c>
      <c r="E43" s="14" t="n">
        <v>0.00694444444444444</v>
      </c>
      <c r="F43" s="14" t="n">
        <v>0</v>
      </c>
      <c r="G43" s="14" t="n">
        <f aca="false">E43+F43</f>
        <v>0.00694444444444444</v>
      </c>
      <c r="H43" s="15"/>
      <c r="I43" s="16" t="s">
        <v>19</v>
      </c>
      <c r="J43" s="16"/>
      <c r="K43" s="16"/>
    </row>
    <row r="44" customFormat="false" ht="12.8" hidden="false" customHeight="false" outlineLevel="0" collapsed="false">
      <c r="A44" s="8"/>
      <c r="B44" s="9"/>
      <c r="C44" s="10" t="n">
        <f aca="false">IF(D43&gt;=TIME(21,45,0),TIME(20,0,0),D43)</f>
        <v>0.875231481481481</v>
      </c>
      <c r="D44" s="10" t="n">
        <f aca="false">C44+G44</f>
        <v>0.894560185185185</v>
      </c>
      <c r="E44" s="10" t="n">
        <v>0.00773148148148148</v>
      </c>
      <c r="F44" s="10" t="n">
        <f aca="false">E44*1.5</f>
        <v>0.0115972222222222</v>
      </c>
      <c r="G44" s="10" t="n">
        <f aca="false">E44+F44</f>
        <v>0.0193287037037037</v>
      </c>
      <c r="H44" s="11" t="n">
        <v>11</v>
      </c>
      <c r="I44" s="13" t="s">
        <v>51</v>
      </c>
      <c r="J44" s="13"/>
      <c r="K44" s="13"/>
    </row>
    <row r="45" customFormat="false" ht="12.8" hidden="false" customHeight="false" outlineLevel="0" collapsed="false">
      <c r="A45" s="8"/>
      <c r="B45" s="9"/>
      <c r="C45" s="10" t="n">
        <f aca="false">IF(D44&gt;=TIME(21,45,0),TIME(20,0,0),D44)</f>
        <v>0.894560185185185</v>
      </c>
      <c r="D45" s="10" t="n">
        <f aca="false">C45+G45</f>
        <v>0.894560185185185</v>
      </c>
      <c r="E45" s="10" t="n">
        <v>0</v>
      </c>
      <c r="F45" s="10" t="n">
        <f aca="false">E45*1.5</f>
        <v>0</v>
      </c>
      <c r="G45" s="10" t="n">
        <f aca="false">E45+F45</f>
        <v>0</v>
      </c>
      <c r="H45" s="11" t="n">
        <v>12</v>
      </c>
      <c r="I45" s="13" t="s">
        <v>52</v>
      </c>
      <c r="J45" s="13"/>
      <c r="K45" s="13"/>
    </row>
  </sheetData>
  <mergeCells count="23">
    <mergeCell ref="A1:A2"/>
    <mergeCell ref="B1:B2"/>
    <mergeCell ref="C1:D1"/>
    <mergeCell ref="E1:G1"/>
    <mergeCell ref="H1:H2"/>
    <mergeCell ref="I1:I2"/>
    <mergeCell ref="J1:J2"/>
    <mergeCell ref="K1:K2"/>
    <mergeCell ref="A3:A31"/>
    <mergeCell ref="B3:B11"/>
    <mergeCell ref="I8:K8"/>
    <mergeCell ref="B12:B15"/>
    <mergeCell ref="I13:K13"/>
    <mergeCell ref="B16:B21"/>
    <mergeCell ref="I20:K20"/>
    <mergeCell ref="B22:B27"/>
    <mergeCell ref="I26:K26"/>
    <mergeCell ref="B28:B31"/>
    <mergeCell ref="A32:A45"/>
    <mergeCell ref="B32:B36"/>
    <mergeCell ref="I35:K35"/>
    <mergeCell ref="B37:B45"/>
    <mergeCell ref="I43:K4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2026-10-11T21:55:19Z</dcterms:created>
  <dc:creator/>
  <dc:description/>
  <dc:language>en-US</dc:language>
  <cp:lastModifiedBy/>
  <dcterms:modified xsi:type="dcterms:W3CDTF">2026-10-12T21:19:36Z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